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WorkSpace\01_Software\RaspiPico\DialKeyPad\02.機能設計\"/>
    </mc:Choice>
  </mc:AlternateContent>
  <xr:revisionPtr revIDLastSave="0" documentId="13_ncr:1_{054B025C-C511-4E3B-BD1A-563EDE58C194}" xr6:coauthVersionLast="47" xr6:coauthVersionMax="47" xr10:uidLastSave="{00000000-0000-0000-0000-000000000000}"/>
  <bookViews>
    <workbookView xWindow="7020" yWindow="1305" windowWidth="12570" windowHeight="13590" xr2:uid="{00000000-000D-0000-FFFF-FFFF00000000}"/>
  </bookViews>
  <sheets>
    <sheet name="端子一覧" sheetId="1" r:id="rId1"/>
    <sheet name="ハードウェアコンポーネント図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6" i="1"/>
</calcChain>
</file>

<file path=xl/sharedStrings.xml><?xml version="1.0" encoding="utf-8"?>
<sst xmlns="http://schemas.openxmlformats.org/spreadsheetml/2006/main" count="182" uniqueCount="87">
  <si>
    <t>端子番号</t>
    <rPh sb="0" eb="4">
      <t>タンシバンゴウ</t>
    </rPh>
    <phoneticPr fontId="1"/>
  </si>
  <si>
    <t>端子名</t>
    <rPh sb="0" eb="3">
      <t>タンシメイ</t>
    </rPh>
    <phoneticPr fontId="1"/>
  </si>
  <si>
    <t>GND</t>
    <phoneticPr fontId="1"/>
  </si>
  <si>
    <t>GPIO0</t>
    <phoneticPr fontId="1"/>
  </si>
  <si>
    <t>GPIO1</t>
    <phoneticPr fontId="1"/>
  </si>
  <si>
    <t>RUN</t>
    <phoneticPr fontId="1"/>
  </si>
  <si>
    <t>ADC_VREF</t>
    <phoneticPr fontId="1"/>
  </si>
  <si>
    <t>3V3(OUT)</t>
    <phoneticPr fontId="1"/>
  </si>
  <si>
    <t>3V3EN</t>
    <phoneticPr fontId="1"/>
  </si>
  <si>
    <t>VSYS</t>
    <phoneticPr fontId="1"/>
  </si>
  <si>
    <t>VBUS(USB+)</t>
    <phoneticPr fontId="1"/>
  </si>
  <si>
    <t>GPIO2</t>
    <phoneticPr fontId="1"/>
  </si>
  <si>
    <t>GPIO3</t>
    <phoneticPr fontId="1"/>
  </si>
  <si>
    <t>GPIO4</t>
    <phoneticPr fontId="1"/>
  </si>
  <si>
    <t>GPIO5</t>
    <phoneticPr fontId="1"/>
  </si>
  <si>
    <t>IN/OUT</t>
    <phoneticPr fontId="1"/>
  </si>
  <si>
    <t>－</t>
    <phoneticPr fontId="1"/>
  </si>
  <si>
    <t>使用用途</t>
    <rPh sb="0" eb="4">
      <t>シヨウヨウト</t>
    </rPh>
    <phoneticPr fontId="1"/>
  </si>
  <si>
    <t>Reserved</t>
    <phoneticPr fontId="1"/>
  </si>
  <si>
    <t>GPIO6</t>
    <phoneticPr fontId="1"/>
  </si>
  <si>
    <t>GPIO7</t>
    <phoneticPr fontId="1"/>
  </si>
  <si>
    <t>GPIO8</t>
    <phoneticPr fontId="1"/>
  </si>
  <si>
    <t>GPIO9</t>
    <phoneticPr fontId="1"/>
  </si>
  <si>
    <t>GPIO10</t>
    <phoneticPr fontId="1"/>
  </si>
  <si>
    <t>GPIO11</t>
    <phoneticPr fontId="1"/>
  </si>
  <si>
    <t>GPIO12</t>
    <phoneticPr fontId="1"/>
  </si>
  <si>
    <t>GPIO13</t>
    <phoneticPr fontId="1"/>
  </si>
  <si>
    <t>GPIO14</t>
    <phoneticPr fontId="1"/>
  </si>
  <si>
    <t>GPIO15</t>
    <phoneticPr fontId="1"/>
  </si>
  <si>
    <t>GPIO16</t>
    <phoneticPr fontId="1"/>
  </si>
  <si>
    <t>GPIO17</t>
    <phoneticPr fontId="1"/>
  </si>
  <si>
    <t>GPIO18</t>
    <phoneticPr fontId="1"/>
  </si>
  <si>
    <t>GPIO19</t>
    <phoneticPr fontId="1"/>
  </si>
  <si>
    <t>GPIO20</t>
    <phoneticPr fontId="1"/>
  </si>
  <si>
    <t>GPIO21</t>
    <phoneticPr fontId="1"/>
  </si>
  <si>
    <t>GPIO22</t>
    <phoneticPr fontId="1"/>
  </si>
  <si>
    <t>GPIO26</t>
    <phoneticPr fontId="1"/>
  </si>
  <si>
    <t>GPIO27</t>
    <phoneticPr fontId="1"/>
  </si>
  <si>
    <t>GPIO28</t>
    <phoneticPr fontId="1"/>
  </si>
  <si>
    <t>I2C0 SDA</t>
    <phoneticPr fontId="1"/>
  </si>
  <si>
    <t>OUT</t>
    <phoneticPr fontId="1"/>
  </si>
  <si>
    <t>I2C0 SCL</t>
    <phoneticPr fontId="1"/>
  </si>
  <si>
    <t>UART1 TX</t>
    <phoneticPr fontId="1"/>
  </si>
  <si>
    <t>IN</t>
    <phoneticPr fontId="1"/>
  </si>
  <si>
    <t>UART1 RX</t>
    <phoneticPr fontId="1"/>
  </si>
  <si>
    <t>詳細</t>
    <rPh sb="0" eb="2">
      <t>ショウサイ</t>
    </rPh>
    <phoneticPr fontId="1"/>
  </si>
  <si>
    <t>将来の予約端子</t>
    <rPh sb="0" eb="2">
      <t>ショウライ</t>
    </rPh>
    <rPh sb="3" eb="7">
      <t>ヨヤクタンシ</t>
    </rPh>
    <phoneticPr fontId="1"/>
  </si>
  <si>
    <t>EL LCD制御用（データ）</t>
    <rPh sb="6" eb="9">
      <t>セイギョヨウ</t>
    </rPh>
    <phoneticPr fontId="1"/>
  </si>
  <si>
    <t>EL LCD制御用（クロック）</t>
    <rPh sb="6" eb="9">
      <t>セイギョヨウ</t>
    </rPh>
    <phoneticPr fontId="1"/>
  </si>
  <si>
    <t>デバッグログ用</t>
    <rPh sb="6" eb="7">
      <t>ヨウ</t>
    </rPh>
    <phoneticPr fontId="1"/>
  </si>
  <si>
    <t>ダイヤル用予約端子</t>
    <rPh sb="4" eb="5">
      <t>ヨウ</t>
    </rPh>
    <rPh sb="5" eb="9">
      <t>ヨヤクタンシ</t>
    </rPh>
    <phoneticPr fontId="1"/>
  </si>
  <si>
    <t>ダイアル入力端子。 割り込み端子</t>
    <rPh sb="4" eb="8">
      <t>ニュウリョクタンシ</t>
    </rPh>
    <rPh sb="10" eb="11">
      <t>ワ</t>
    </rPh>
    <rPh sb="12" eb="13">
      <t>コ</t>
    </rPh>
    <rPh sb="14" eb="16">
      <t>タンシ</t>
    </rPh>
    <phoneticPr fontId="1"/>
  </si>
  <si>
    <t>ダイヤル用側LED出力</t>
    <rPh sb="4" eb="5">
      <t>ヨウ</t>
    </rPh>
    <rPh sb="5" eb="6">
      <t>ガワ</t>
    </rPh>
    <rPh sb="9" eb="11">
      <t>シュツリョク</t>
    </rPh>
    <phoneticPr fontId="1"/>
  </si>
  <si>
    <t>モノクロLCD制御用</t>
    <rPh sb="7" eb="10">
      <t>セイギョヨウ</t>
    </rPh>
    <phoneticPr fontId="1"/>
  </si>
  <si>
    <t>スイッチ入力１</t>
    <rPh sb="4" eb="6">
      <t>ニュウリョク</t>
    </rPh>
    <phoneticPr fontId="1"/>
  </si>
  <si>
    <t>スイッチ入力2</t>
    <rPh sb="4" eb="6">
      <t>ニュウリョク</t>
    </rPh>
    <phoneticPr fontId="1"/>
  </si>
  <si>
    <t>スイッチ入力3</t>
    <rPh sb="4" eb="6">
      <t>ニュウリョク</t>
    </rPh>
    <phoneticPr fontId="1"/>
  </si>
  <si>
    <t>アナログリファレンス電圧</t>
    <rPh sb="10" eb="12">
      <t>デンアツ</t>
    </rPh>
    <phoneticPr fontId="1"/>
  </si>
  <si>
    <t>3.3V出力</t>
    <rPh sb="4" eb="6">
      <t>シュツリョク</t>
    </rPh>
    <phoneticPr fontId="1"/>
  </si>
  <si>
    <t>USB VBUS出力(5V)</t>
    <rPh sb="8" eb="10">
      <t>シュツリョク</t>
    </rPh>
    <phoneticPr fontId="1"/>
  </si>
  <si>
    <t>専用端子</t>
    <rPh sb="0" eb="2">
      <t>センヨウ</t>
    </rPh>
    <rPh sb="2" eb="4">
      <t>タンシ</t>
    </rPh>
    <phoneticPr fontId="1"/>
  </si>
  <si>
    <t>専用端子</t>
    <rPh sb="0" eb="4">
      <t>センヨウタンシ</t>
    </rPh>
    <phoneticPr fontId="1"/>
  </si>
  <si>
    <t>■システムブロック図</t>
    <rPh sb="9" eb="10">
      <t>ズ</t>
    </rPh>
    <phoneticPr fontId="1"/>
  </si>
  <si>
    <t>バス電圧は3V。 モノクロLCDとPicoの間には74LS245（レベル変換IC）を挿入する</t>
    <rPh sb="2" eb="4">
      <t>デンアツ</t>
    </rPh>
    <rPh sb="22" eb="23">
      <t>アイダ</t>
    </rPh>
    <rPh sb="36" eb="38">
      <t>ヘンカン</t>
    </rPh>
    <rPh sb="42" eb="44">
      <t>ソウニュウ</t>
    </rPh>
    <phoneticPr fontId="1"/>
  </si>
  <si>
    <t>コネクタID</t>
    <phoneticPr fontId="1"/>
  </si>
  <si>
    <t>J2</t>
    <phoneticPr fontId="1"/>
  </si>
  <si>
    <t>J3</t>
    <phoneticPr fontId="1"/>
  </si>
  <si>
    <t>端子</t>
    <rPh sb="0" eb="2">
      <t>タンシ</t>
    </rPh>
    <phoneticPr fontId="1"/>
  </si>
  <si>
    <t>コネクタ
端子数</t>
    <rPh sb="5" eb="8">
      <t>タンシスウ</t>
    </rPh>
    <phoneticPr fontId="1"/>
  </si>
  <si>
    <t>J4</t>
    <phoneticPr fontId="1"/>
  </si>
  <si>
    <t>J5</t>
    <phoneticPr fontId="1"/>
  </si>
  <si>
    <t>J6</t>
    <phoneticPr fontId="1"/>
  </si>
  <si>
    <t>J7</t>
    <phoneticPr fontId="1"/>
  </si>
  <si>
    <t>（1-VCC 9-VR 10-GND）</t>
    <phoneticPr fontId="1"/>
  </si>
  <si>
    <t>J8</t>
    <phoneticPr fontId="1"/>
  </si>
  <si>
    <t>拡張用ダイアル入力(IN)</t>
    <rPh sb="0" eb="3">
      <t>カクチョウヨウ</t>
    </rPh>
    <rPh sb="7" eb="9">
      <t>ニュウリョク</t>
    </rPh>
    <phoneticPr fontId="1"/>
  </si>
  <si>
    <t>ダイアル入力(IN)</t>
    <rPh sb="4" eb="6">
      <t>ニュウリョク</t>
    </rPh>
    <phoneticPr fontId="1"/>
  </si>
  <si>
    <t>LED出力(OUT)</t>
    <rPh sb="3" eb="5">
      <t>シュツリョク</t>
    </rPh>
    <phoneticPr fontId="1"/>
  </si>
  <si>
    <t>LCD制御 D0(OUT)</t>
    <rPh sb="3" eb="5">
      <t>セイギョ</t>
    </rPh>
    <phoneticPr fontId="1"/>
  </si>
  <si>
    <t>LCD制御 D1(OUT)</t>
    <rPh sb="3" eb="5">
      <t>セイギョ</t>
    </rPh>
    <phoneticPr fontId="1"/>
  </si>
  <si>
    <t>LCD制御 D2(OUT)</t>
    <rPh sb="3" eb="5">
      <t>セイギョ</t>
    </rPh>
    <phoneticPr fontId="1"/>
  </si>
  <si>
    <t>LCD制御 D3(OUT)</t>
    <rPh sb="3" eb="5">
      <t>セイギョ</t>
    </rPh>
    <phoneticPr fontId="1"/>
  </si>
  <si>
    <t>LCD制御 RS(OUT)</t>
    <phoneticPr fontId="1"/>
  </si>
  <si>
    <t>LCD制御 E(OUT)</t>
    <phoneticPr fontId="1"/>
  </si>
  <si>
    <t>スイッチ入力(IN)</t>
    <rPh sb="4" eb="6">
      <t>ニュウリョク</t>
    </rPh>
    <phoneticPr fontId="1"/>
  </si>
  <si>
    <t>VCC</t>
    <phoneticPr fontId="1"/>
  </si>
  <si>
    <t>システムバス電源(5V)</t>
    <rPh sb="6" eb="8">
      <t>デンゲン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</si>
</sst>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0"/>
      <name val="Yu Gothic"/>
      <family val="2"/>
      <scheme val="minor"/>
    </font>
    <font>
      <sz val="11"/>
      <color theme="0"/>
      <name val="Yu Gothic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3" borderId="1" xfId="0" applyFill="1" applyBorder="1"/>
    <xf numFmtId="0" fontId="2" fillId="2" borderId="1" xfId="0" applyFont="1" applyFill="1" applyBorder="1"/>
    <xf numFmtId="0" fontId="0" fillId="4" borderId="1" xfId="0" applyFill="1" applyBorder="1"/>
    <xf numFmtId="0" fontId="2" fillId="6" borderId="1" xfId="0" applyFont="1" applyFill="1" applyBorder="1"/>
    <xf numFmtId="0" fontId="2" fillId="5" borderId="1" xfId="0" applyFont="1" applyFill="1" applyBorder="1"/>
    <xf numFmtId="0" fontId="3" fillId="5" borderId="1" xfId="0" applyFont="1" applyFill="1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155864</xdr:colOff>
      <xdr:row>2</xdr:row>
      <xdr:rowOff>225137</xdr:rowOff>
    </xdr:from>
    <xdr:to>
      <xdr:col>23</xdr:col>
      <xdr:colOff>64443</xdr:colOff>
      <xdr:row>27</xdr:row>
      <xdr:rowOff>164513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346FC4B-E55B-D171-6552-1EB81DFCB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1500" y="710046"/>
          <a:ext cx="8914034" cy="62431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4</xdr:row>
      <xdr:rowOff>200025</xdr:rowOff>
    </xdr:from>
    <xdr:to>
      <xdr:col>11</xdr:col>
      <xdr:colOff>162369</xdr:colOff>
      <xdr:row>21</xdr:row>
      <xdr:rowOff>114853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AFDB41D-5A7F-D2D8-8717-2D5983BEC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4375" y="1152525"/>
          <a:ext cx="3181794" cy="3962953"/>
        </a:xfrm>
        <a:prstGeom prst="rect">
          <a:avLst/>
        </a:prstGeom>
      </xdr:spPr>
    </xdr:pic>
    <xdr:clientData/>
  </xdr:twoCellAnchor>
  <xdr:twoCellAnchor>
    <xdr:from>
      <xdr:col>3</xdr:col>
      <xdr:colOff>518948</xdr:colOff>
      <xdr:row>11</xdr:row>
      <xdr:rowOff>118242</xdr:rowOff>
    </xdr:from>
    <xdr:to>
      <xdr:col>5</xdr:col>
      <xdr:colOff>177361</xdr:colOff>
      <xdr:row>12</xdr:row>
      <xdr:rowOff>183932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FE8AD61D-1907-0045-F8F4-B34B407CD958}"/>
            </a:ext>
          </a:extLst>
        </xdr:cNvPr>
        <xdr:cNvSpPr/>
      </xdr:nvSpPr>
      <xdr:spPr>
        <a:xfrm>
          <a:off x="2568465" y="2719552"/>
          <a:ext cx="1024758" cy="302173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I2C</a:t>
          </a:r>
          <a:endParaRPr kumimoji="1" lang="ja-JP" altLang="en-US" sz="1100"/>
        </a:p>
      </xdr:txBody>
    </xdr:sp>
    <xdr:clientData/>
  </xdr:twoCellAnchor>
  <xdr:twoCellAnchor>
    <xdr:from>
      <xdr:col>5</xdr:col>
      <xdr:colOff>236483</xdr:colOff>
      <xdr:row>12</xdr:row>
      <xdr:rowOff>0</xdr:rowOff>
    </xdr:from>
    <xdr:to>
      <xdr:col>6</xdr:col>
      <xdr:colOff>440121</xdr:colOff>
      <xdr:row>12</xdr:row>
      <xdr:rowOff>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B338308C-1929-317F-38EF-D12D9697EE52}"/>
            </a:ext>
          </a:extLst>
        </xdr:cNvPr>
        <xdr:cNvCxnSpPr/>
      </xdr:nvCxnSpPr>
      <xdr:spPr>
        <a:xfrm>
          <a:off x="3652345" y="2837793"/>
          <a:ext cx="886810" cy="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229914</xdr:colOff>
      <xdr:row>12</xdr:row>
      <xdr:rowOff>144517</xdr:rowOff>
    </xdr:from>
    <xdr:to>
      <xdr:col>6</xdr:col>
      <xdr:colOff>440121</xdr:colOff>
      <xdr:row>12</xdr:row>
      <xdr:rowOff>151086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1016ACE8-06CB-1F2D-0A9F-BC7620C2DB5F}"/>
            </a:ext>
          </a:extLst>
        </xdr:cNvPr>
        <xdr:cNvCxnSpPr/>
      </xdr:nvCxnSpPr>
      <xdr:spPr>
        <a:xfrm flipH="1">
          <a:off x="3645776" y="2982310"/>
          <a:ext cx="893379" cy="656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507124</xdr:colOff>
      <xdr:row>13</xdr:row>
      <xdr:rowOff>14452</xdr:rowOff>
    </xdr:from>
    <xdr:to>
      <xdr:col>5</xdr:col>
      <xdr:colOff>165537</xdr:colOff>
      <xdr:row>14</xdr:row>
      <xdr:rowOff>144517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9F3D2601-89AA-418E-B5B6-604AEDF6863B}"/>
            </a:ext>
          </a:extLst>
        </xdr:cNvPr>
        <xdr:cNvSpPr/>
      </xdr:nvSpPr>
      <xdr:spPr>
        <a:xfrm>
          <a:off x="2556641" y="3088728"/>
          <a:ext cx="1024758" cy="366548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UART</a:t>
          </a:r>
          <a:endParaRPr kumimoji="1" lang="ja-JP" altLang="en-US" sz="1100"/>
        </a:p>
      </xdr:txBody>
    </xdr:sp>
    <xdr:clientData/>
  </xdr:twoCellAnchor>
  <xdr:twoCellAnchor>
    <xdr:from>
      <xdr:col>5</xdr:col>
      <xdr:colOff>197069</xdr:colOff>
      <xdr:row>13</xdr:row>
      <xdr:rowOff>137948</xdr:rowOff>
    </xdr:from>
    <xdr:to>
      <xdr:col>6</xdr:col>
      <xdr:colOff>407276</xdr:colOff>
      <xdr:row>13</xdr:row>
      <xdr:rowOff>144517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CBFD43FC-F16E-0550-941D-BABB30C5ABC9}"/>
            </a:ext>
          </a:extLst>
        </xdr:cNvPr>
        <xdr:cNvCxnSpPr/>
      </xdr:nvCxnSpPr>
      <xdr:spPr>
        <a:xfrm flipH="1">
          <a:off x="3612931" y="3212224"/>
          <a:ext cx="893379" cy="656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203638</xdr:colOff>
      <xdr:row>14</xdr:row>
      <xdr:rowOff>45982</xdr:rowOff>
    </xdr:from>
    <xdr:to>
      <xdr:col>6</xdr:col>
      <xdr:colOff>394138</xdr:colOff>
      <xdr:row>14</xdr:row>
      <xdr:rowOff>59120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325D57B9-76A0-37FE-2133-B380AE311FF8}"/>
            </a:ext>
          </a:extLst>
        </xdr:cNvPr>
        <xdr:cNvCxnSpPr/>
      </xdr:nvCxnSpPr>
      <xdr:spPr>
        <a:xfrm flipV="1">
          <a:off x="3619500" y="3356741"/>
          <a:ext cx="873672" cy="1313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534714</xdr:colOff>
      <xdr:row>16</xdr:row>
      <xdr:rowOff>186559</xdr:rowOff>
    </xdr:from>
    <xdr:to>
      <xdr:col>5</xdr:col>
      <xdr:colOff>193127</xdr:colOff>
      <xdr:row>20</xdr:row>
      <xdr:rowOff>229914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C1892A22-EADD-4683-9D2E-69EC2F672716}"/>
            </a:ext>
          </a:extLst>
        </xdr:cNvPr>
        <xdr:cNvSpPr/>
      </xdr:nvSpPr>
      <xdr:spPr>
        <a:xfrm>
          <a:off x="2584231" y="3970283"/>
          <a:ext cx="1024758" cy="98928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ダイヤルと</a:t>
          </a:r>
          <a:endParaRPr kumimoji="1" lang="en-US" altLang="ja-JP" sz="1100"/>
        </a:p>
        <a:p>
          <a:pPr algn="ctr"/>
          <a:endParaRPr kumimoji="1" lang="en-US" altLang="ja-JP" sz="1100"/>
        </a:p>
        <a:p>
          <a:pPr algn="ctr"/>
          <a:endParaRPr kumimoji="1" lang="en-US" altLang="ja-JP" sz="1100"/>
        </a:p>
        <a:p>
          <a:pPr algn="ctr"/>
          <a:r>
            <a:rPr kumimoji="1" lang="en-US" altLang="ja-JP" sz="1100"/>
            <a:t>LED</a:t>
          </a:r>
          <a:endParaRPr kumimoji="1" lang="ja-JP" altLang="en-US" sz="1100"/>
        </a:p>
      </xdr:txBody>
    </xdr:sp>
    <xdr:clientData/>
  </xdr:twoCellAnchor>
  <xdr:twoCellAnchor>
    <xdr:from>
      <xdr:col>5</xdr:col>
      <xdr:colOff>224659</xdr:colOff>
      <xdr:row>17</xdr:row>
      <xdr:rowOff>86710</xdr:rowOff>
    </xdr:from>
    <xdr:to>
      <xdr:col>6</xdr:col>
      <xdr:colOff>415159</xdr:colOff>
      <xdr:row>17</xdr:row>
      <xdr:rowOff>99848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03CF31CD-7215-4F7A-996D-12C416D93F6B}"/>
            </a:ext>
          </a:extLst>
        </xdr:cNvPr>
        <xdr:cNvCxnSpPr/>
      </xdr:nvCxnSpPr>
      <xdr:spPr>
        <a:xfrm flipV="1">
          <a:off x="3640521" y="4106917"/>
          <a:ext cx="873672" cy="1313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212835</xdr:colOff>
      <xdr:row>18</xdr:row>
      <xdr:rowOff>28903</xdr:rowOff>
    </xdr:from>
    <xdr:to>
      <xdr:col>6</xdr:col>
      <xdr:colOff>403335</xdr:colOff>
      <xdr:row>18</xdr:row>
      <xdr:rowOff>42041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35A1B604-6954-42CD-8908-3879D35B3A56}"/>
            </a:ext>
          </a:extLst>
        </xdr:cNvPr>
        <xdr:cNvCxnSpPr/>
      </xdr:nvCxnSpPr>
      <xdr:spPr>
        <a:xfrm flipV="1">
          <a:off x="3628697" y="4285593"/>
          <a:ext cx="873672" cy="1313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204951</xdr:colOff>
      <xdr:row>19</xdr:row>
      <xdr:rowOff>139263</xdr:rowOff>
    </xdr:from>
    <xdr:to>
      <xdr:col>6</xdr:col>
      <xdr:colOff>415158</xdr:colOff>
      <xdr:row>19</xdr:row>
      <xdr:rowOff>145832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13CEA89A-1445-437B-ACE7-AB7AE29F1127}"/>
            </a:ext>
          </a:extLst>
        </xdr:cNvPr>
        <xdr:cNvCxnSpPr/>
      </xdr:nvCxnSpPr>
      <xdr:spPr>
        <a:xfrm flipH="1">
          <a:off x="3620813" y="4632435"/>
          <a:ext cx="893379" cy="656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193127</xdr:colOff>
      <xdr:row>20</xdr:row>
      <xdr:rowOff>94594</xdr:rowOff>
    </xdr:from>
    <xdr:to>
      <xdr:col>6</xdr:col>
      <xdr:colOff>403334</xdr:colOff>
      <xdr:row>20</xdr:row>
      <xdr:rowOff>101163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6238960A-B78F-49AE-82C4-4E184A1ADAC1}"/>
            </a:ext>
          </a:extLst>
        </xdr:cNvPr>
        <xdr:cNvCxnSpPr/>
      </xdr:nvCxnSpPr>
      <xdr:spPr>
        <a:xfrm flipH="1">
          <a:off x="3608989" y="4824249"/>
          <a:ext cx="893379" cy="656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444062</xdr:colOff>
      <xdr:row>13</xdr:row>
      <xdr:rowOff>164224</xdr:rowOff>
    </xdr:from>
    <xdr:to>
      <xdr:col>14</xdr:col>
      <xdr:colOff>102475</xdr:colOff>
      <xdr:row>20</xdr:row>
      <xdr:rowOff>231228</xdr:rowOff>
    </xdr:to>
    <xdr:sp macro="" textlink="">
      <xdr:nvSpPr>
        <xdr:cNvPr id="24" name="四角形: 角を丸くする 23">
          <a:extLst>
            <a:ext uri="{FF2B5EF4-FFF2-40B4-BE49-F238E27FC236}">
              <a16:creationId xmlns:a16="http://schemas.microsoft.com/office/drawing/2014/main" id="{C865BF28-FCF0-41D2-B0A3-B98326E56BEE}"/>
            </a:ext>
          </a:extLst>
        </xdr:cNvPr>
        <xdr:cNvSpPr/>
      </xdr:nvSpPr>
      <xdr:spPr>
        <a:xfrm>
          <a:off x="8642131" y="3238500"/>
          <a:ext cx="1024758" cy="1722383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74HC245</a:t>
          </a:r>
          <a:endParaRPr kumimoji="1" lang="ja-JP" altLang="en-US" sz="1100"/>
        </a:p>
      </xdr:txBody>
    </xdr:sp>
    <xdr:clientData/>
  </xdr:twoCellAnchor>
  <xdr:twoCellAnchor>
    <xdr:from>
      <xdr:col>11</xdr:col>
      <xdr:colOff>206265</xdr:colOff>
      <xdr:row>20</xdr:row>
      <xdr:rowOff>107731</xdr:rowOff>
    </xdr:from>
    <xdr:to>
      <xdr:col>12</xdr:col>
      <xdr:colOff>396765</xdr:colOff>
      <xdr:row>20</xdr:row>
      <xdr:rowOff>120869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8D6E728B-B0B2-43D1-88A1-5872570DF764}"/>
            </a:ext>
          </a:extLst>
        </xdr:cNvPr>
        <xdr:cNvCxnSpPr/>
      </xdr:nvCxnSpPr>
      <xdr:spPr>
        <a:xfrm flipV="1">
          <a:off x="7721162" y="4837386"/>
          <a:ext cx="873672" cy="1313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187872</xdr:colOff>
      <xdr:row>19</xdr:row>
      <xdr:rowOff>155028</xdr:rowOff>
    </xdr:from>
    <xdr:to>
      <xdr:col>12</xdr:col>
      <xdr:colOff>378372</xdr:colOff>
      <xdr:row>19</xdr:row>
      <xdr:rowOff>168166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2AAE5A84-9B49-41F1-928D-A49E2B74D4E4}"/>
            </a:ext>
          </a:extLst>
        </xdr:cNvPr>
        <xdr:cNvCxnSpPr/>
      </xdr:nvCxnSpPr>
      <xdr:spPr>
        <a:xfrm flipV="1">
          <a:off x="7702769" y="4648200"/>
          <a:ext cx="873672" cy="1313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195755</xdr:colOff>
      <xdr:row>18</xdr:row>
      <xdr:rowOff>11824</xdr:rowOff>
    </xdr:from>
    <xdr:to>
      <xdr:col>12</xdr:col>
      <xdr:colOff>386255</xdr:colOff>
      <xdr:row>18</xdr:row>
      <xdr:rowOff>24962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D235560E-AE46-48BA-AF0B-C4A7003D1A11}"/>
            </a:ext>
          </a:extLst>
        </xdr:cNvPr>
        <xdr:cNvCxnSpPr/>
      </xdr:nvCxnSpPr>
      <xdr:spPr>
        <a:xfrm flipV="1">
          <a:off x="7710652" y="4268514"/>
          <a:ext cx="873672" cy="1313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203638</xdr:colOff>
      <xdr:row>17</xdr:row>
      <xdr:rowOff>59120</xdr:rowOff>
    </xdr:from>
    <xdr:to>
      <xdr:col>12</xdr:col>
      <xdr:colOff>394138</xdr:colOff>
      <xdr:row>17</xdr:row>
      <xdr:rowOff>72258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066480A8-DC54-49D6-A6A2-BC4CC259314F}"/>
            </a:ext>
          </a:extLst>
        </xdr:cNvPr>
        <xdr:cNvCxnSpPr/>
      </xdr:nvCxnSpPr>
      <xdr:spPr>
        <a:xfrm flipV="1">
          <a:off x="7718535" y="4079327"/>
          <a:ext cx="873672" cy="1313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198382</xdr:colOff>
      <xdr:row>16</xdr:row>
      <xdr:rowOff>112986</xdr:rowOff>
    </xdr:from>
    <xdr:to>
      <xdr:col>12</xdr:col>
      <xdr:colOff>388882</xdr:colOff>
      <xdr:row>16</xdr:row>
      <xdr:rowOff>126124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097222F0-54F4-42D0-AEEE-8677087FA011}"/>
            </a:ext>
          </a:extLst>
        </xdr:cNvPr>
        <xdr:cNvCxnSpPr/>
      </xdr:nvCxnSpPr>
      <xdr:spPr>
        <a:xfrm flipV="1">
          <a:off x="7713279" y="3896710"/>
          <a:ext cx="873672" cy="1313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179989</xdr:colOff>
      <xdr:row>15</xdr:row>
      <xdr:rowOff>173421</xdr:rowOff>
    </xdr:from>
    <xdr:to>
      <xdr:col>12</xdr:col>
      <xdr:colOff>370489</xdr:colOff>
      <xdr:row>15</xdr:row>
      <xdr:rowOff>186559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C8CA5856-57AA-4882-BA7D-DBED134681D3}"/>
            </a:ext>
          </a:extLst>
        </xdr:cNvPr>
        <xdr:cNvCxnSpPr/>
      </xdr:nvCxnSpPr>
      <xdr:spPr>
        <a:xfrm flipV="1">
          <a:off x="7694886" y="3720662"/>
          <a:ext cx="873672" cy="1313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168165</xdr:colOff>
      <xdr:row>14</xdr:row>
      <xdr:rowOff>30216</xdr:rowOff>
    </xdr:from>
    <xdr:to>
      <xdr:col>12</xdr:col>
      <xdr:colOff>358665</xdr:colOff>
      <xdr:row>14</xdr:row>
      <xdr:rowOff>43354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13022766-1E36-41C0-8425-19AFFB6F977D}"/>
            </a:ext>
          </a:extLst>
        </xdr:cNvPr>
        <xdr:cNvCxnSpPr/>
      </xdr:nvCxnSpPr>
      <xdr:spPr>
        <a:xfrm flipV="1">
          <a:off x="7683062" y="3340975"/>
          <a:ext cx="873672" cy="1313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465082</xdr:colOff>
      <xdr:row>9</xdr:row>
      <xdr:rowOff>197068</xdr:rowOff>
    </xdr:from>
    <xdr:to>
      <xdr:col>14</xdr:col>
      <xdr:colOff>123495</xdr:colOff>
      <xdr:row>13</xdr:row>
      <xdr:rowOff>78826</xdr:rowOff>
    </xdr:to>
    <xdr:sp macro="" textlink="">
      <xdr:nvSpPr>
        <xdr:cNvPr id="32" name="四角形: 角を丸くする 31">
          <a:extLst>
            <a:ext uri="{FF2B5EF4-FFF2-40B4-BE49-F238E27FC236}">
              <a16:creationId xmlns:a16="http://schemas.microsoft.com/office/drawing/2014/main" id="{F9A8CD4F-8502-443C-948E-37B8B931F068}"/>
            </a:ext>
          </a:extLst>
        </xdr:cNvPr>
        <xdr:cNvSpPr/>
      </xdr:nvSpPr>
      <xdr:spPr>
        <a:xfrm>
          <a:off x="8663151" y="2325413"/>
          <a:ext cx="1024758" cy="82768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入力</a:t>
          </a:r>
          <a:endParaRPr kumimoji="1" lang="en-US" altLang="ja-JP" sz="1100"/>
        </a:p>
        <a:p>
          <a:pPr algn="ctr"/>
          <a:r>
            <a:rPr kumimoji="1" lang="en-US" altLang="ja-JP" sz="1100"/>
            <a:t>SW</a:t>
          </a:r>
          <a:endParaRPr kumimoji="1" lang="ja-JP" altLang="en-US" sz="1100"/>
        </a:p>
      </xdr:txBody>
    </xdr:sp>
    <xdr:clientData/>
  </xdr:twoCellAnchor>
  <xdr:twoCellAnchor>
    <xdr:from>
      <xdr:col>11</xdr:col>
      <xdr:colOff>170793</xdr:colOff>
      <xdr:row>10</xdr:row>
      <xdr:rowOff>85396</xdr:rowOff>
    </xdr:from>
    <xdr:to>
      <xdr:col>12</xdr:col>
      <xdr:colOff>381000</xdr:colOff>
      <xdr:row>10</xdr:row>
      <xdr:rowOff>91965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9B9DDFC4-E1EA-4261-8EA3-F641A1DC308D}"/>
            </a:ext>
          </a:extLst>
        </xdr:cNvPr>
        <xdr:cNvCxnSpPr/>
      </xdr:nvCxnSpPr>
      <xdr:spPr>
        <a:xfrm flipH="1">
          <a:off x="7685690" y="2450224"/>
          <a:ext cx="893379" cy="656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165538</xdr:colOff>
      <xdr:row>11</xdr:row>
      <xdr:rowOff>191814</xdr:rowOff>
    </xdr:from>
    <xdr:to>
      <xdr:col>12</xdr:col>
      <xdr:colOff>375745</xdr:colOff>
      <xdr:row>11</xdr:row>
      <xdr:rowOff>198383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48EA3F8C-D4A3-4E31-9427-1AA6F1732181}"/>
            </a:ext>
          </a:extLst>
        </xdr:cNvPr>
        <xdr:cNvCxnSpPr/>
      </xdr:nvCxnSpPr>
      <xdr:spPr>
        <a:xfrm flipH="1">
          <a:off x="7680435" y="2793124"/>
          <a:ext cx="893379" cy="656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160283</xdr:colOff>
      <xdr:row>12</xdr:row>
      <xdr:rowOff>166852</xdr:rowOff>
    </xdr:from>
    <xdr:to>
      <xdr:col>12</xdr:col>
      <xdr:colOff>370490</xdr:colOff>
      <xdr:row>12</xdr:row>
      <xdr:rowOff>173421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1C12E548-B6BA-4C24-A8EB-98FED47183A6}"/>
            </a:ext>
          </a:extLst>
        </xdr:cNvPr>
        <xdr:cNvCxnSpPr/>
      </xdr:nvCxnSpPr>
      <xdr:spPr>
        <a:xfrm flipH="1">
          <a:off x="7675180" y="3004645"/>
          <a:ext cx="893379" cy="656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73573</xdr:colOff>
      <xdr:row>2</xdr:row>
      <xdr:rowOff>47297</xdr:rowOff>
    </xdr:from>
    <xdr:to>
      <xdr:col>14</xdr:col>
      <xdr:colOff>415158</xdr:colOff>
      <xdr:row>3</xdr:row>
      <xdr:rowOff>112988</xdr:rowOff>
    </xdr:to>
    <xdr:sp macro="" textlink="">
      <xdr:nvSpPr>
        <xdr:cNvPr id="36" name="四角形: 角を丸くする 35">
          <a:extLst>
            <a:ext uri="{FF2B5EF4-FFF2-40B4-BE49-F238E27FC236}">
              <a16:creationId xmlns:a16="http://schemas.microsoft.com/office/drawing/2014/main" id="{69210942-3BCA-4B25-89D8-2DD03A00FCDA}"/>
            </a:ext>
          </a:extLst>
        </xdr:cNvPr>
        <xdr:cNvSpPr/>
      </xdr:nvSpPr>
      <xdr:spPr>
        <a:xfrm>
          <a:off x="8954814" y="520263"/>
          <a:ext cx="1024758" cy="302173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専用端子</a:t>
          </a:r>
        </a:p>
      </xdr:txBody>
    </xdr:sp>
    <xdr:clientData/>
  </xdr:twoCellAnchor>
  <xdr:twoCellAnchor>
    <xdr:from>
      <xdr:col>13</xdr:col>
      <xdr:colOff>65689</xdr:colOff>
      <xdr:row>3</xdr:row>
      <xdr:rowOff>165539</xdr:rowOff>
    </xdr:from>
    <xdr:to>
      <xdr:col>14</xdr:col>
      <xdr:colOff>407274</xdr:colOff>
      <xdr:row>4</xdr:row>
      <xdr:rowOff>177364</xdr:rowOff>
    </xdr:to>
    <xdr:sp macro="" textlink="">
      <xdr:nvSpPr>
        <xdr:cNvPr id="37" name="四角形: 角を丸くする 36">
          <a:extLst>
            <a:ext uri="{FF2B5EF4-FFF2-40B4-BE49-F238E27FC236}">
              <a16:creationId xmlns:a16="http://schemas.microsoft.com/office/drawing/2014/main" id="{ED2C830D-3E61-4239-920E-667FEBE6421F}"/>
            </a:ext>
          </a:extLst>
        </xdr:cNvPr>
        <xdr:cNvSpPr/>
      </xdr:nvSpPr>
      <xdr:spPr>
        <a:xfrm>
          <a:off x="8946930" y="874987"/>
          <a:ext cx="1024758" cy="24830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GPIO</a:t>
          </a:r>
          <a:r>
            <a:rPr kumimoji="1" lang="ja-JP" altLang="en-US" sz="1100"/>
            <a:t>端子</a:t>
          </a:r>
        </a:p>
      </xdr:txBody>
    </xdr:sp>
    <xdr:clientData/>
  </xdr:twoCellAnchor>
  <xdr:twoCellAnchor>
    <xdr:from>
      <xdr:col>15</xdr:col>
      <xdr:colOff>543911</xdr:colOff>
      <xdr:row>13</xdr:row>
      <xdr:rowOff>158969</xdr:rowOff>
    </xdr:from>
    <xdr:to>
      <xdr:col>17</xdr:col>
      <xdr:colOff>202324</xdr:colOff>
      <xdr:row>20</xdr:row>
      <xdr:rowOff>225973</xdr:rowOff>
    </xdr:to>
    <xdr:sp macro="" textlink="">
      <xdr:nvSpPr>
        <xdr:cNvPr id="38" name="四角形: 角を丸くする 37">
          <a:extLst>
            <a:ext uri="{FF2B5EF4-FFF2-40B4-BE49-F238E27FC236}">
              <a16:creationId xmlns:a16="http://schemas.microsoft.com/office/drawing/2014/main" id="{2B79E4D0-B2DB-4898-AEE0-042890EA1332}"/>
            </a:ext>
          </a:extLst>
        </xdr:cNvPr>
        <xdr:cNvSpPr/>
      </xdr:nvSpPr>
      <xdr:spPr>
        <a:xfrm>
          <a:off x="10791497" y="3233245"/>
          <a:ext cx="1024758" cy="172238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モノクロ</a:t>
          </a:r>
          <a:endParaRPr kumimoji="1" lang="en-US" altLang="ja-JP" sz="1100"/>
        </a:p>
        <a:p>
          <a:pPr algn="ctr"/>
          <a:r>
            <a:rPr kumimoji="1" lang="en-US" altLang="ja-JP" sz="1100"/>
            <a:t>2</a:t>
          </a:r>
          <a:r>
            <a:rPr kumimoji="1" lang="ja-JP" altLang="en-US" sz="1100"/>
            <a:t>行</a:t>
          </a:r>
          <a:r>
            <a:rPr kumimoji="1" lang="en-US" altLang="ja-JP" sz="1100"/>
            <a:t>LCD</a:t>
          </a:r>
          <a:endParaRPr kumimoji="1" lang="ja-JP" altLang="en-US" sz="1100"/>
        </a:p>
      </xdr:txBody>
    </xdr:sp>
    <xdr:clientData/>
  </xdr:twoCellAnchor>
  <xdr:twoCellAnchor>
    <xdr:from>
      <xdr:col>14</xdr:col>
      <xdr:colOff>253561</xdr:colOff>
      <xdr:row>20</xdr:row>
      <xdr:rowOff>115614</xdr:rowOff>
    </xdr:from>
    <xdr:to>
      <xdr:col>15</xdr:col>
      <xdr:colOff>444061</xdr:colOff>
      <xdr:row>20</xdr:row>
      <xdr:rowOff>128752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A9AD7128-0AF4-4B4A-8C58-13A89A38430A}"/>
            </a:ext>
          </a:extLst>
        </xdr:cNvPr>
        <xdr:cNvCxnSpPr/>
      </xdr:nvCxnSpPr>
      <xdr:spPr>
        <a:xfrm flipV="1">
          <a:off x="9817975" y="4845269"/>
          <a:ext cx="873672" cy="1313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235168</xdr:colOff>
      <xdr:row>19</xdr:row>
      <xdr:rowOff>162911</xdr:rowOff>
    </xdr:from>
    <xdr:to>
      <xdr:col>15</xdr:col>
      <xdr:colOff>425668</xdr:colOff>
      <xdr:row>19</xdr:row>
      <xdr:rowOff>176049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3BF1EAF3-E299-437A-898E-62A1CF1ECC50}"/>
            </a:ext>
          </a:extLst>
        </xdr:cNvPr>
        <xdr:cNvCxnSpPr/>
      </xdr:nvCxnSpPr>
      <xdr:spPr>
        <a:xfrm flipV="1">
          <a:off x="9799582" y="4656083"/>
          <a:ext cx="873672" cy="1313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243051</xdr:colOff>
      <xdr:row>18</xdr:row>
      <xdr:rowOff>19707</xdr:rowOff>
    </xdr:from>
    <xdr:to>
      <xdr:col>15</xdr:col>
      <xdr:colOff>433551</xdr:colOff>
      <xdr:row>18</xdr:row>
      <xdr:rowOff>32845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E51B5598-F5F1-4375-AD27-C331023C4682}"/>
            </a:ext>
          </a:extLst>
        </xdr:cNvPr>
        <xdr:cNvCxnSpPr/>
      </xdr:nvCxnSpPr>
      <xdr:spPr>
        <a:xfrm flipV="1">
          <a:off x="9807465" y="4276397"/>
          <a:ext cx="873672" cy="1313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250934</xdr:colOff>
      <xdr:row>17</xdr:row>
      <xdr:rowOff>67003</xdr:rowOff>
    </xdr:from>
    <xdr:to>
      <xdr:col>15</xdr:col>
      <xdr:colOff>441434</xdr:colOff>
      <xdr:row>17</xdr:row>
      <xdr:rowOff>80141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46492BC8-3CFA-4B25-A0F3-2027BF798F0C}"/>
            </a:ext>
          </a:extLst>
        </xdr:cNvPr>
        <xdr:cNvCxnSpPr/>
      </xdr:nvCxnSpPr>
      <xdr:spPr>
        <a:xfrm flipV="1">
          <a:off x="9815348" y="4087210"/>
          <a:ext cx="873672" cy="1313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245678</xdr:colOff>
      <xdr:row>16</xdr:row>
      <xdr:rowOff>120869</xdr:rowOff>
    </xdr:from>
    <xdr:to>
      <xdr:col>15</xdr:col>
      <xdr:colOff>436178</xdr:colOff>
      <xdr:row>16</xdr:row>
      <xdr:rowOff>134007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54758183-AE93-4560-8492-308561499A6D}"/>
            </a:ext>
          </a:extLst>
        </xdr:cNvPr>
        <xdr:cNvCxnSpPr/>
      </xdr:nvCxnSpPr>
      <xdr:spPr>
        <a:xfrm flipV="1">
          <a:off x="9810092" y="3904593"/>
          <a:ext cx="873672" cy="1313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227285</xdr:colOff>
      <xdr:row>15</xdr:row>
      <xdr:rowOff>181304</xdr:rowOff>
    </xdr:from>
    <xdr:to>
      <xdr:col>15</xdr:col>
      <xdr:colOff>417785</xdr:colOff>
      <xdr:row>15</xdr:row>
      <xdr:rowOff>194442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918F79D9-34BE-44B4-A3AF-AA72311C2BAC}"/>
            </a:ext>
          </a:extLst>
        </xdr:cNvPr>
        <xdr:cNvCxnSpPr/>
      </xdr:nvCxnSpPr>
      <xdr:spPr>
        <a:xfrm flipV="1">
          <a:off x="9791699" y="3728545"/>
          <a:ext cx="873672" cy="1313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215461</xdr:colOff>
      <xdr:row>14</xdr:row>
      <xdr:rowOff>38099</xdr:rowOff>
    </xdr:from>
    <xdr:to>
      <xdr:col>15</xdr:col>
      <xdr:colOff>405961</xdr:colOff>
      <xdr:row>14</xdr:row>
      <xdr:rowOff>51237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2969F474-DC47-42B1-AD62-9F2DEDDA16D8}"/>
            </a:ext>
          </a:extLst>
        </xdr:cNvPr>
        <xdr:cNvCxnSpPr/>
      </xdr:nvCxnSpPr>
      <xdr:spPr>
        <a:xfrm flipV="1">
          <a:off x="9779875" y="3348858"/>
          <a:ext cx="873672" cy="1313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67003</xdr:colOff>
      <xdr:row>4</xdr:row>
      <xdr:rowOff>232543</xdr:rowOff>
    </xdr:from>
    <xdr:to>
      <xdr:col>14</xdr:col>
      <xdr:colOff>408588</xdr:colOff>
      <xdr:row>6</xdr:row>
      <xdr:rowOff>7885</xdr:rowOff>
    </xdr:to>
    <xdr:sp macro="" textlink="">
      <xdr:nvSpPr>
        <xdr:cNvPr id="46" name="四角形: 角を丸くする 45">
          <a:extLst>
            <a:ext uri="{FF2B5EF4-FFF2-40B4-BE49-F238E27FC236}">
              <a16:creationId xmlns:a16="http://schemas.microsoft.com/office/drawing/2014/main" id="{6A7E7723-7A26-4D2E-A3F4-7EC914979471}"/>
            </a:ext>
          </a:extLst>
        </xdr:cNvPr>
        <xdr:cNvSpPr/>
      </xdr:nvSpPr>
      <xdr:spPr>
        <a:xfrm>
          <a:off x="8948244" y="1178474"/>
          <a:ext cx="1024758" cy="248308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バッファ</a:t>
          </a:r>
          <a:r>
            <a:rPr kumimoji="1" lang="en-US" altLang="ja-JP" sz="1100"/>
            <a:t>IC</a:t>
          </a:r>
          <a:endParaRPr kumimoji="1" lang="ja-JP" altLang="en-US" sz="1100"/>
        </a:p>
      </xdr:txBody>
    </xdr:sp>
    <xdr:clientData/>
  </xdr:twoCellAnchor>
  <xdr:twoCellAnchor>
    <xdr:from>
      <xdr:col>12</xdr:col>
      <xdr:colOff>451184</xdr:colOff>
      <xdr:row>13</xdr:row>
      <xdr:rowOff>142442</xdr:rowOff>
    </xdr:from>
    <xdr:to>
      <xdr:col>13</xdr:col>
      <xdr:colOff>240632</xdr:colOff>
      <xdr:row>14</xdr:row>
      <xdr:rowOff>140369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249E4AC7-4F5E-A23C-FF77-797219D3432E}"/>
            </a:ext>
          </a:extLst>
        </xdr:cNvPr>
        <xdr:cNvSpPr txBox="1"/>
      </xdr:nvSpPr>
      <xdr:spPr>
        <a:xfrm>
          <a:off x="8692816" y="3270653"/>
          <a:ext cx="476250" cy="2385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bg1"/>
              </a:solidFill>
            </a:rPr>
            <a:t>3.3V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372979</xdr:colOff>
      <xdr:row>13</xdr:row>
      <xdr:rowOff>149460</xdr:rowOff>
    </xdr:from>
    <xdr:to>
      <xdr:col>14</xdr:col>
      <xdr:colOff>162426</xdr:colOff>
      <xdr:row>14</xdr:row>
      <xdr:rowOff>147387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EC8E2831-A52A-40B3-84B0-1D5BE593F326}"/>
            </a:ext>
          </a:extLst>
        </xdr:cNvPr>
        <xdr:cNvSpPr txBox="1"/>
      </xdr:nvSpPr>
      <xdr:spPr>
        <a:xfrm>
          <a:off x="9301413" y="3277671"/>
          <a:ext cx="476250" cy="2385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bg1"/>
              </a:solidFill>
            </a:rPr>
            <a:t>5.0V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124326</xdr:colOff>
      <xdr:row>13</xdr:row>
      <xdr:rowOff>161492</xdr:rowOff>
    </xdr:from>
    <xdr:to>
      <xdr:col>16</xdr:col>
      <xdr:colOff>600576</xdr:colOff>
      <xdr:row>14</xdr:row>
      <xdr:rowOff>159419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FE266D5E-8B02-43CF-AA98-C6A306784C6B}"/>
            </a:ext>
          </a:extLst>
        </xdr:cNvPr>
        <xdr:cNvSpPr txBox="1"/>
      </xdr:nvSpPr>
      <xdr:spPr>
        <a:xfrm>
          <a:off x="11113168" y="3289703"/>
          <a:ext cx="476250" cy="2385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bg1"/>
              </a:solidFill>
            </a:rPr>
            <a:t>5.0V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17</xdr:col>
      <xdr:colOff>459441</xdr:colOff>
      <xdr:row>12</xdr:row>
      <xdr:rowOff>89647</xdr:rowOff>
    </xdr:from>
    <xdr:to>
      <xdr:col>22</xdr:col>
      <xdr:colOff>271144</xdr:colOff>
      <xdr:row>22</xdr:row>
      <xdr:rowOff>145676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51B74374-944C-128C-2154-4BCC79AF8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79941" y="2913529"/>
          <a:ext cx="3229497" cy="2409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447261</xdr:colOff>
      <xdr:row>16</xdr:row>
      <xdr:rowOff>198784</xdr:rowOff>
    </xdr:from>
    <xdr:to>
      <xdr:col>3</xdr:col>
      <xdr:colOff>252948</xdr:colOff>
      <xdr:row>22</xdr:row>
      <xdr:rowOff>190501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BEEF46DD-DE9B-ADBD-AA5E-ABFA3881B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261" y="4041914"/>
          <a:ext cx="1868057" cy="14328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207065</xdr:colOff>
      <xdr:row>9</xdr:row>
      <xdr:rowOff>240195</xdr:rowOff>
    </xdr:from>
    <xdr:to>
      <xdr:col>16</xdr:col>
      <xdr:colOff>573781</xdr:colOff>
      <xdr:row>12</xdr:row>
      <xdr:rowOff>165652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20DB8BA7-EEDC-721D-1EFB-DDD5642A4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31456" y="2401956"/>
          <a:ext cx="1741629" cy="6460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J44"/>
  <sheetViews>
    <sheetView tabSelected="1" zoomScaleNormal="100" workbookViewId="0">
      <selection activeCell="N2" sqref="N2"/>
    </sheetView>
  </sheetViews>
  <sheetFormatPr defaultRowHeight="18.75"/>
  <cols>
    <col min="2" max="2" width="12.5" customWidth="1"/>
    <col min="3" max="3" width="12" customWidth="1"/>
    <col min="5" max="5" width="24.375" customWidth="1"/>
    <col min="6" max="6" width="32.625" customWidth="1"/>
    <col min="7" max="7" width="14.375" customWidth="1"/>
    <col min="9" max="9" width="9" bestFit="1" customWidth="1"/>
  </cols>
  <sheetData>
    <row r="4" spans="2:9" ht="37.5">
      <c r="B4" s="1" t="s">
        <v>0</v>
      </c>
      <c r="C4" s="1" t="s">
        <v>1</v>
      </c>
      <c r="D4" s="1" t="s">
        <v>15</v>
      </c>
      <c r="E4" s="1" t="s">
        <v>17</v>
      </c>
      <c r="F4" s="1" t="s">
        <v>45</v>
      </c>
      <c r="G4" s="8" t="s">
        <v>64</v>
      </c>
      <c r="H4" s="8" t="s">
        <v>67</v>
      </c>
      <c r="I4" s="9" t="s">
        <v>68</v>
      </c>
    </row>
    <row r="5" spans="2:9">
      <c r="B5" s="1">
        <v>1</v>
      </c>
      <c r="C5" s="2" t="s">
        <v>3</v>
      </c>
      <c r="D5" s="1" t="s">
        <v>16</v>
      </c>
      <c r="E5" s="1" t="s">
        <v>18</v>
      </c>
      <c r="F5" s="1" t="s">
        <v>46</v>
      </c>
    </row>
    <row r="6" spans="2:9">
      <c r="B6" s="1">
        <f>B5+1</f>
        <v>2</v>
      </c>
      <c r="C6" s="2" t="s">
        <v>4</v>
      </c>
      <c r="D6" s="1" t="s">
        <v>16</v>
      </c>
      <c r="E6" s="1" t="s">
        <v>18</v>
      </c>
      <c r="F6" s="1" t="s">
        <v>46</v>
      </c>
    </row>
    <row r="7" spans="2:9">
      <c r="B7" s="1">
        <f t="shared" ref="B7:B44" si="0">B6+1</f>
        <v>3</v>
      </c>
      <c r="C7" s="3" t="s">
        <v>2</v>
      </c>
      <c r="D7" s="1" t="s">
        <v>16</v>
      </c>
      <c r="E7" s="1" t="s">
        <v>16</v>
      </c>
      <c r="F7" s="1" t="s">
        <v>16</v>
      </c>
    </row>
    <row r="8" spans="2:9">
      <c r="B8" s="1">
        <f t="shared" si="0"/>
        <v>4</v>
      </c>
      <c r="C8" s="2" t="s">
        <v>11</v>
      </c>
      <c r="D8" s="1" t="s">
        <v>16</v>
      </c>
      <c r="E8" s="1" t="s">
        <v>18</v>
      </c>
      <c r="F8" s="1" t="s">
        <v>46</v>
      </c>
    </row>
    <row r="9" spans="2:9">
      <c r="B9" s="1">
        <f t="shared" si="0"/>
        <v>5</v>
      </c>
      <c r="C9" s="2" t="s">
        <v>12</v>
      </c>
      <c r="D9" s="1" t="s">
        <v>16</v>
      </c>
      <c r="E9" s="1" t="s">
        <v>18</v>
      </c>
      <c r="F9" s="1" t="s">
        <v>46</v>
      </c>
    </row>
    <row r="10" spans="2:9">
      <c r="B10" s="1">
        <f t="shared" si="0"/>
        <v>6</v>
      </c>
      <c r="C10" s="2" t="s">
        <v>13</v>
      </c>
      <c r="D10" s="1" t="s">
        <v>16</v>
      </c>
      <c r="E10" s="1" t="s">
        <v>18</v>
      </c>
      <c r="F10" s="1" t="s">
        <v>46</v>
      </c>
    </row>
    <row r="11" spans="2:9">
      <c r="B11" s="1">
        <f t="shared" si="0"/>
        <v>7</v>
      </c>
      <c r="C11" s="2" t="s">
        <v>14</v>
      </c>
      <c r="D11" s="1" t="s">
        <v>16</v>
      </c>
      <c r="E11" s="1" t="s">
        <v>18</v>
      </c>
      <c r="F11" s="1" t="s">
        <v>46</v>
      </c>
    </row>
    <row r="12" spans="2:9">
      <c r="B12" s="1">
        <f t="shared" si="0"/>
        <v>8</v>
      </c>
      <c r="C12" s="3" t="s">
        <v>2</v>
      </c>
      <c r="D12" s="1" t="s">
        <v>16</v>
      </c>
      <c r="E12" s="1" t="s">
        <v>16</v>
      </c>
      <c r="F12" s="1" t="s">
        <v>16</v>
      </c>
    </row>
    <row r="13" spans="2:9">
      <c r="B13" s="1">
        <f t="shared" si="0"/>
        <v>9</v>
      </c>
      <c r="C13" s="2" t="s">
        <v>19</v>
      </c>
      <c r="D13" s="1" t="s">
        <v>60</v>
      </c>
      <c r="E13" s="1" t="s">
        <v>39</v>
      </c>
      <c r="F13" s="1" t="s">
        <v>47</v>
      </c>
      <c r="G13" s="8" t="s">
        <v>65</v>
      </c>
      <c r="H13">
        <v>2</v>
      </c>
      <c r="I13">
        <v>4</v>
      </c>
    </row>
    <row r="14" spans="2:9">
      <c r="B14" s="1">
        <f t="shared" si="0"/>
        <v>10</v>
      </c>
      <c r="C14" s="2" t="s">
        <v>20</v>
      </c>
      <c r="D14" s="1" t="s">
        <v>61</v>
      </c>
      <c r="E14" s="1" t="s">
        <v>41</v>
      </c>
      <c r="F14" s="1" t="s">
        <v>48</v>
      </c>
      <c r="G14" s="8" t="s">
        <v>65</v>
      </c>
      <c r="H14">
        <v>3</v>
      </c>
      <c r="I14">
        <v>4</v>
      </c>
    </row>
    <row r="15" spans="2:9">
      <c r="B15" s="1">
        <f t="shared" si="0"/>
        <v>11</v>
      </c>
      <c r="C15" s="2" t="s">
        <v>21</v>
      </c>
      <c r="D15" s="1" t="s">
        <v>60</v>
      </c>
      <c r="E15" s="1" t="s">
        <v>42</v>
      </c>
      <c r="F15" s="1" t="s">
        <v>49</v>
      </c>
      <c r="G15" s="8" t="s">
        <v>66</v>
      </c>
      <c r="H15">
        <v>1</v>
      </c>
      <c r="I15">
        <v>3</v>
      </c>
    </row>
    <row r="16" spans="2:9">
      <c r="B16" s="1">
        <f t="shared" si="0"/>
        <v>12</v>
      </c>
      <c r="C16" s="2" t="s">
        <v>22</v>
      </c>
      <c r="D16" s="1" t="s">
        <v>61</v>
      </c>
      <c r="E16" s="1" t="s">
        <v>44</v>
      </c>
      <c r="F16" s="1" t="s">
        <v>49</v>
      </c>
      <c r="G16" s="8" t="s">
        <v>66</v>
      </c>
      <c r="H16">
        <v>2</v>
      </c>
      <c r="I16">
        <v>3</v>
      </c>
    </row>
    <row r="17" spans="2:9">
      <c r="B17" s="1">
        <f t="shared" si="0"/>
        <v>13</v>
      </c>
      <c r="C17" s="3" t="s">
        <v>2</v>
      </c>
      <c r="D17" s="1" t="s">
        <v>16</v>
      </c>
      <c r="E17" s="1" t="s">
        <v>16</v>
      </c>
      <c r="F17" s="1" t="s">
        <v>16</v>
      </c>
    </row>
    <row r="18" spans="2:9">
      <c r="B18" s="1">
        <f t="shared" si="0"/>
        <v>14</v>
      </c>
      <c r="C18" s="2" t="s">
        <v>23</v>
      </c>
      <c r="D18" s="1" t="s">
        <v>43</v>
      </c>
      <c r="E18" s="1" t="s">
        <v>75</v>
      </c>
      <c r="F18" s="1" t="s">
        <v>50</v>
      </c>
      <c r="G18" s="8" t="s">
        <v>69</v>
      </c>
      <c r="H18">
        <v>1</v>
      </c>
      <c r="I18">
        <v>3</v>
      </c>
    </row>
    <row r="19" spans="2:9">
      <c r="B19" s="1">
        <f t="shared" si="0"/>
        <v>15</v>
      </c>
      <c r="C19" s="2" t="s">
        <v>24</v>
      </c>
      <c r="D19" s="1" t="s">
        <v>43</v>
      </c>
      <c r="E19" s="1" t="s">
        <v>75</v>
      </c>
      <c r="F19" s="1" t="s">
        <v>50</v>
      </c>
      <c r="G19" s="10" t="s">
        <v>69</v>
      </c>
      <c r="H19">
        <v>2</v>
      </c>
      <c r="I19">
        <v>3</v>
      </c>
    </row>
    <row r="20" spans="2:9">
      <c r="B20" s="1">
        <f t="shared" si="0"/>
        <v>16</v>
      </c>
      <c r="C20" s="2" t="s">
        <v>25</v>
      </c>
      <c r="D20" s="1" t="s">
        <v>43</v>
      </c>
      <c r="E20" s="1" t="s">
        <v>76</v>
      </c>
      <c r="F20" s="1" t="s">
        <v>51</v>
      </c>
      <c r="G20" s="8" t="s">
        <v>70</v>
      </c>
      <c r="H20">
        <v>1</v>
      </c>
      <c r="I20">
        <v>3</v>
      </c>
    </row>
    <row r="21" spans="2:9">
      <c r="B21" s="1">
        <f t="shared" si="0"/>
        <v>17</v>
      </c>
      <c r="C21" s="2" t="s">
        <v>26</v>
      </c>
      <c r="D21" s="1" t="s">
        <v>43</v>
      </c>
      <c r="E21" s="1" t="s">
        <v>76</v>
      </c>
      <c r="F21" s="1" t="s">
        <v>51</v>
      </c>
      <c r="G21" s="10" t="s">
        <v>70</v>
      </c>
      <c r="H21">
        <v>2</v>
      </c>
      <c r="I21">
        <v>3</v>
      </c>
    </row>
    <row r="22" spans="2:9">
      <c r="B22" s="1">
        <f t="shared" si="0"/>
        <v>18</v>
      </c>
      <c r="C22" s="3" t="s">
        <v>2</v>
      </c>
      <c r="D22" s="1" t="s">
        <v>16</v>
      </c>
      <c r="E22" s="1" t="s">
        <v>16</v>
      </c>
      <c r="F22" s="1" t="s">
        <v>16</v>
      </c>
    </row>
    <row r="23" spans="2:9">
      <c r="B23" s="1">
        <f t="shared" si="0"/>
        <v>19</v>
      </c>
      <c r="C23" s="2" t="s">
        <v>27</v>
      </c>
      <c r="D23" s="1"/>
      <c r="E23" s="1" t="s">
        <v>77</v>
      </c>
      <c r="F23" s="1" t="s">
        <v>52</v>
      </c>
      <c r="G23" s="8" t="s">
        <v>71</v>
      </c>
      <c r="H23">
        <v>1</v>
      </c>
      <c r="I23">
        <v>3</v>
      </c>
    </row>
    <row r="24" spans="2:9">
      <c r="B24" s="1">
        <f t="shared" si="0"/>
        <v>20</v>
      </c>
      <c r="C24" s="2" t="s">
        <v>28</v>
      </c>
      <c r="D24" s="1"/>
      <c r="E24" s="1" t="s">
        <v>77</v>
      </c>
      <c r="F24" s="1" t="s">
        <v>52</v>
      </c>
      <c r="G24" s="8" t="s">
        <v>71</v>
      </c>
      <c r="H24">
        <v>2</v>
      </c>
      <c r="I24">
        <v>3</v>
      </c>
    </row>
    <row r="25" spans="2:9">
      <c r="B25" s="1">
        <f t="shared" si="0"/>
        <v>21</v>
      </c>
      <c r="C25" s="2" t="s">
        <v>29</v>
      </c>
      <c r="D25" s="1" t="s">
        <v>40</v>
      </c>
      <c r="E25" s="1" t="s">
        <v>78</v>
      </c>
      <c r="F25" s="1" t="s">
        <v>53</v>
      </c>
      <c r="G25" s="10" t="s">
        <v>72</v>
      </c>
      <c r="H25">
        <v>2</v>
      </c>
      <c r="I25">
        <v>10</v>
      </c>
    </row>
    <row r="26" spans="2:9">
      <c r="B26" s="1">
        <f t="shared" si="0"/>
        <v>22</v>
      </c>
      <c r="C26" s="2" t="s">
        <v>30</v>
      </c>
      <c r="D26" s="1" t="s">
        <v>40</v>
      </c>
      <c r="E26" s="1" t="s">
        <v>79</v>
      </c>
      <c r="F26" s="1" t="s">
        <v>53</v>
      </c>
      <c r="G26" s="10" t="s">
        <v>72</v>
      </c>
      <c r="H26">
        <v>3</v>
      </c>
      <c r="I26">
        <v>10</v>
      </c>
    </row>
    <row r="27" spans="2:9">
      <c r="B27" s="1">
        <f t="shared" si="0"/>
        <v>23</v>
      </c>
      <c r="C27" s="3" t="s">
        <v>2</v>
      </c>
      <c r="D27" s="1" t="s">
        <v>16</v>
      </c>
      <c r="E27" s="1" t="s">
        <v>16</v>
      </c>
      <c r="F27" s="1" t="s">
        <v>16</v>
      </c>
    </row>
    <row r="28" spans="2:9">
      <c r="B28" s="1">
        <f t="shared" si="0"/>
        <v>24</v>
      </c>
      <c r="C28" s="2" t="s">
        <v>31</v>
      </c>
      <c r="D28" s="1" t="s">
        <v>40</v>
      </c>
      <c r="E28" s="1" t="s">
        <v>80</v>
      </c>
      <c r="F28" s="1" t="s">
        <v>53</v>
      </c>
      <c r="G28" s="10" t="s">
        <v>72</v>
      </c>
      <c r="H28">
        <v>4</v>
      </c>
      <c r="I28">
        <v>10</v>
      </c>
    </row>
    <row r="29" spans="2:9">
      <c r="B29" s="1">
        <f t="shared" si="0"/>
        <v>25</v>
      </c>
      <c r="C29" s="2" t="s">
        <v>32</v>
      </c>
      <c r="D29" s="1" t="s">
        <v>40</v>
      </c>
      <c r="E29" s="1" t="s">
        <v>81</v>
      </c>
      <c r="F29" s="1" t="s">
        <v>53</v>
      </c>
      <c r="G29" s="10" t="s">
        <v>72</v>
      </c>
      <c r="H29">
        <v>5</v>
      </c>
      <c r="I29">
        <v>10</v>
      </c>
    </row>
    <row r="30" spans="2:9">
      <c r="B30" s="1">
        <f t="shared" si="0"/>
        <v>26</v>
      </c>
      <c r="C30" s="2" t="s">
        <v>33</v>
      </c>
      <c r="D30" s="1" t="s">
        <v>40</v>
      </c>
      <c r="E30" s="1" t="s">
        <v>82</v>
      </c>
      <c r="F30" s="1" t="s">
        <v>53</v>
      </c>
      <c r="G30" s="10" t="s">
        <v>72</v>
      </c>
      <c r="H30">
        <v>6</v>
      </c>
      <c r="I30">
        <v>10</v>
      </c>
    </row>
    <row r="31" spans="2:9">
      <c r="B31" s="1">
        <f t="shared" si="0"/>
        <v>27</v>
      </c>
      <c r="C31" s="2" t="s">
        <v>34</v>
      </c>
      <c r="D31" s="1" t="s">
        <v>40</v>
      </c>
      <c r="E31" s="1" t="s">
        <v>83</v>
      </c>
      <c r="F31" s="1" t="s">
        <v>53</v>
      </c>
      <c r="G31" s="10" t="s">
        <v>72</v>
      </c>
      <c r="H31">
        <v>7</v>
      </c>
      <c r="I31">
        <v>10</v>
      </c>
    </row>
    <row r="32" spans="2:9">
      <c r="B32" s="1">
        <f t="shared" si="0"/>
        <v>28</v>
      </c>
      <c r="C32" s="3" t="s">
        <v>2</v>
      </c>
      <c r="D32" s="1" t="s">
        <v>16</v>
      </c>
      <c r="E32" s="1" t="s">
        <v>16</v>
      </c>
      <c r="F32" s="1" t="s">
        <v>16</v>
      </c>
    </row>
    <row r="33" spans="2:10">
      <c r="B33" s="1">
        <f t="shared" si="0"/>
        <v>29</v>
      </c>
      <c r="C33" s="2" t="s">
        <v>35</v>
      </c>
      <c r="D33" s="1" t="s">
        <v>16</v>
      </c>
      <c r="E33" s="1" t="s">
        <v>18</v>
      </c>
      <c r="F33" s="1" t="s">
        <v>46</v>
      </c>
      <c r="G33" s="10"/>
      <c r="H33">
        <v>8</v>
      </c>
      <c r="I33">
        <v>10</v>
      </c>
      <c r="J33" t="s">
        <v>73</v>
      </c>
    </row>
    <row r="34" spans="2:10">
      <c r="B34" s="1">
        <f t="shared" si="0"/>
        <v>30</v>
      </c>
      <c r="C34" s="4" t="s">
        <v>5</v>
      </c>
      <c r="D34" s="1"/>
      <c r="E34" s="1"/>
      <c r="F34" s="1"/>
    </row>
    <row r="35" spans="2:10">
      <c r="B35" s="1">
        <f t="shared" si="0"/>
        <v>31</v>
      </c>
      <c r="C35" s="2" t="s">
        <v>36</v>
      </c>
      <c r="D35" s="1"/>
      <c r="E35" s="1" t="s">
        <v>84</v>
      </c>
      <c r="F35" s="1" t="s">
        <v>54</v>
      </c>
      <c r="G35" t="s">
        <v>74</v>
      </c>
      <c r="H35">
        <v>2</v>
      </c>
      <c r="I35">
        <v>4</v>
      </c>
    </row>
    <row r="36" spans="2:10">
      <c r="B36" s="1">
        <f t="shared" si="0"/>
        <v>32</v>
      </c>
      <c r="C36" s="2" t="s">
        <v>37</v>
      </c>
      <c r="D36" s="1"/>
      <c r="E36" s="1" t="s">
        <v>84</v>
      </c>
      <c r="F36" s="1" t="s">
        <v>55</v>
      </c>
      <c r="G36" t="s">
        <v>74</v>
      </c>
      <c r="H36">
        <v>3</v>
      </c>
      <c r="I36">
        <v>4</v>
      </c>
    </row>
    <row r="37" spans="2:10">
      <c r="B37" s="1">
        <f t="shared" si="0"/>
        <v>33</v>
      </c>
      <c r="C37" s="3" t="s">
        <v>2</v>
      </c>
      <c r="D37" s="1" t="s">
        <v>16</v>
      </c>
      <c r="E37" s="1" t="s">
        <v>16</v>
      </c>
      <c r="F37" s="1" t="s">
        <v>16</v>
      </c>
    </row>
    <row r="38" spans="2:10">
      <c r="B38" s="1">
        <f t="shared" si="0"/>
        <v>34</v>
      </c>
      <c r="C38" s="2" t="s">
        <v>38</v>
      </c>
      <c r="D38" s="1"/>
      <c r="E38" s="1" t="s">
        <v>84</v>
      </c>
      <c r="F38" s="1" t="s">
        <v>56</v>
      </c>
      <c r="G38" t="s">
        <v>74</v>
      </c>
      <c r="H38">
        <v>4</v>
      </c>
      <c r="I38">
        <v>4</v>
      </c>
    </row>
    <row r="39" spans="2:10">
      <c r="B39" s="1">
        <f t="shared" si="0"/>
        <v>35</v>
      </c>
      <c r="C39" s="5" t="s">
        <v>6</v>
      </c>
      <c r="D39" s="1" t="s">
        <v>16</v>
      </c>
      <c r="E39" s="1" t="s">
        <v>16</v>
      </c>
      <c r="F39" s="1" t="s">
        <v>57</v>
      </c>
    </row>
    <row r="40" spans="2:10">
      <c r="B40" s="1">
        <f t="shared" si="0"/>
        <v>36</v>
      </c>
      <c r="C40" s="6" t="s">
        <v>7</v>
      </c>
      <c r="D40" s="1" t="s">
        <v>16</v>
      </c>
      <c r="E40" s="1" t="s">
        <v>16</v>
      </c>
      <c r="F40" s="1" t="s">
        <v>58</v>
      </c>
    </row>
    <row r="41" spans="2:10">
      <c r="B41" s="1">
        <f t="shared" si="0"/>
        <v>37</v>
      </c>
      <c r="C41" s="4" t="s">
        <v>8</v>
      </c>
      <c r="D41" s="1" t="s">
        <v>16</v>
      </c>
      <c r="E41" s="1" t="s">
        <v>16</v>
      </c>
      <c r="F41" s="1" t="s">
        <v>16</v>
      </c>
    </row>
    <row r="42" spans="2:10">
      <c r="B42" s="1">
        <f t="shared" si="0"/>
        <v>38</v>
      </c>
      <c r="C42" s="3" t="s">
        <v>2</v>
      </c>
      <c r="D42" s="1" t="s">
        <v>16</v>
      </c>
      <c r="E42" s="1" t="s">
        <v>16</v>
      </c>
      <c r="F42" s="1" t="s">
        <v>16</v>
      </c>
    </row>
    <row r="43" spans="2:10">
      <c r="B43" s="1">
        <f t="shared" si="0"/>
        <v>39</v>
      </c>
      <c r="C43" s="7" t="s">
        <v>9</v>
      </c>
      <c r="D43" s="1" t="s">
        <v>16</v>
      </c>
      <c r="E43" s="1" t="s">
        <v>85</v>
      </c>
      <c r="F43" s="1" t="s">
        <v>86</v>
      </c>
    </row>
    <row r="44" spans="2:10">
      <c r="B44" s="1">
        <f t="shared" si="0"/>
        <v>40</v>
      </c>
      <c r="C44" s="7" t="s">
        <v>10</v>
      </c>
      <c r="D44" s="1" t="s">
        <v>16</v>
      </c>
      <c r="E44" s="1" t="s">
        <v>16</v>
      </c>
      <c r="F44" s="1" t="s">
        <v>59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5C56-D568-4AEA-9800-ABAC49EB217B}">
  <dimension ref="A1:B3"/>
  <sheetViews>
    <sheetView zoomScale="115" zoomScaleNormal="115" workbookViewId="0">
      <selection activeCell="L23" sqref="L23"/>
    </sheetView>
  </sheetViews>
  <sheetFormatPr defaultRowHeight="18.75"/>
  <sheetData>
    <row r="1" spans="1:2">
      <c r="A1" t="s">
        <v>62</v>
      </c>
    </row>
    <row r="3" spans="1:2">
      <c r="B3" t="s">
        <v>63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端子一覧</vt:lpstr>
      <vt:lpstr>ハードウェアコンポーネント図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nakamura.yasumasa</dc:creator>
  <cp:lastModifiedBy>康政 中村</cp:lastModifiedBy>
  <dcterms:created xsi:type="dcterms:W3CDTF">2015-06-05T18:19:34Z</dcterms:created>
  <dcterms:modified xsi:type="dcterms:W3CDTF">2026-08-13T16:03:28Z</dcterms:modified>
</cp:coreProperties>
</file>